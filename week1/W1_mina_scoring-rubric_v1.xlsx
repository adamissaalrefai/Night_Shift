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Rubric" sheetId="2" state="visible" r:id="rId4"/>
    <sheet name="Pass-Fail Checks" sheetId="3" state="visible" r:id="rId5"/>
    <sheet name="Scoring Sheet" sheetId="4" state="visible" r:id="rId6"/>
    <sheet name="Model Summar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<sst xmlns="http://schemas.openxmlformats.org/spreadsheetml/2006/main" count="213" uniqueCount="158">
  <si>
    <t xml:space="preserve">IR Capstone: Scoring Rubric and Scoring Sheet (v1.0)</t>
  </si>
  <si>
    <t xml:space="preserve">Owner: Mina (Validation and Evidence Lead) | Reviewer: Nader | Time standard: UTC, ISO 8601</t>
  </si>
  <si>
    <t xml:space="preserve">Purpose</t>
  </si>
  <si>
    <t xml:space="preserve">Turns each AI output into a consistent 1 to 5 score (Accuracy, Completeness, Usefulness) plus a hard PASS/FAIL gate that mirrors the Evaluation Record in every /ai-outputs file.</t>
  </si>
  <si>
    <t xml:space="preserve">Tabs</t>
  </si>
  <si>
    <t xml:space="preserve">Rubric = level definitions, auto-score thresholds, error severity. Pass-Fail Checks = Evaluation Record checks. Scoring Sheet = one row per task x model. Model Summary = averages computed from the Scoring Sheet.</t>
  </si>
  <si>
    <t xml:space="preserve">Workflow</t>
  </si>
  <si>
    <t xml:space="preserve">1) Read the output. 2) Compare it to the Answer Key (W1_mina_answer-key_v1.md). 3) Fill the yellow cells on the Scoring Sheet. 4) Accuracy and Completeness scores calculate automatically. 5) Enter Usefulness by hand using the Rubric tab. 6) Log every wrong or unsupported claim in the hallucination log immediately.</t>
  </si>
  <si>
    <t xml:space="preserve">Colour legend</t>
  </si>
  <si>
    <t xml:space="preserve">Yellow fill = cells you fill in. Blue text = editable settings and thresholds. Black text = formulas (do not overwrite). Grey italic row = worked example (ignored by the summary because its model is 'EXAMPLE').</t>
  </si>
  <si>
    <t xml:space="preserve">Two scoring systems</t>
  </si>
  <si>
    <t xml:space="preserve">The 1 to 5 scores describe quality in degrees. The PASS/FAIL result is a hard gate. An output can average 4 and still FAIL, for example when it invents an IP address.</t>
  </si>
  <si>
    <t xml:space="preserve">Editable settings</t>
  </si>
  <si>
    <t xml:space="preserve">Thresholds and the PASS limit are on the Rubric tab (blue cells). Changing them updates every score. Record any change in the Decisions Log and tell the team, because scores must stay comparable.</t>
  </si>
  <si>
    <t xml:space="preserve">Models</t>
  </si>
  <si>
    <t xml:space="preserve">Llama 3.1 8B (primary), Mistral 7B and Phi-3 Mini (Week 1 benchmark only). Use exactly these names in the Model column, otherwise the summary will not count the row.</t>
  </si>
  <si>
    <t xml:space="preserve">Dependencies</t>
  </si>
  <si>
    <t xml:space="preserve">Key item counts come from the Answer Key. Dataset refs in the key must be filled before scoring.</t>
  </si>
  <si>
    <t xml:space="preserve">Scoring Rubric: level definitions (1 to 5)</t>
  </si>
  <si>
    <t xml:space="preserve">Applies to every benchmark output. Score against the Answer Key, not against how convincing the output sounds.</t>
  </si>
  <si>
    <t xml:space="preserve">Score</t>
  </si>
  <si>
    <t xml:space="preserve">Accuracy (are the claims correct?)</t>
  </si>
  <si>
    <t xml:space="preserve">Completeness (did it find the key items?)</t>
  </si>
  <si>
    <t xml:space="preserve">Usefulness (could an analyst act on it?)</t>
  </si>
  <si>
    <t xml:space="preserve">0 wrong or unsupported claims. Every claim matches a source log line. Evidence references are correct.</t>
  </si>
  <si>
    <t xml:space="preserve">95% or more of the answer-key items found.</t>
  </si>
  <si>
    <t xml:space="preserve">Analyst could act on it as written. Correct structure, labels (Confirmed/Suspected/Scenario only/Unknown) and confidence used properly.</t>
  </si>
  <si>
    <t xml:space="preserve">1 minor wrong or unsupported claim. Core findings correct.</t>
  </si>
  <si>
    <t xml:space="preserve">75% to 94% of key items found. Misses only minor items.</t>
  </si>
  <si>
    <t xml:space="preserve">Needs light editing (wording, a missing reference) before use.</t>
  </si>
  <si>
    <t xml:space="preserve">2 to 3 wrong or unsupported claims. Core findings still correct.</t>
  </si>
  <si>
    <t xml:space="preserve">50% to 74% of key items found.</t>
  </si>
  <si>
    <t xml:space="preserve">Useful as a starting draft. The analyst must verify each point.</t>
  </si>
  <si>
    <t xml:space="preserve">4 to 5 wrong or unsupported claims, or any Critical error.</t>
  </si>
  <si>
    <t xml:space="preserve">25% to 49% of key items found.</t>
  </si>
  <si>
    <t xml:space="preserve">Needs heavy rework. Structure or labelling mostly ignored.</t>
  </si>
  <si>
    <t xml:space="preserve">6 or more wrong or unsupported claims, or the core finding is wrong.</t>
  </si>
  <si>
    <t xml:space="preserve">Under 25% of key items found.</t>
  </si>
  <si>
    <t xml:space="preserve">Unusable or misleading. Following it would waste time or cause harm.</t>
  </si>
  <si>
    <t xml:space="preserve">Auto-score thresholds (used by the Scoring Sheet formulas; keep them in step with the table above)</t>
  </si>
  <si>
    <t xml:space="preserve">Wrong + unsupported claims (from)</t>
  </si>
  <si>
    <t xml:space="preserve">Accuracy score</t>
  </si>
  <si>
    <t xml:space="preserve">Found / key items (from)</t>
  </si>
  <si>
    <t xml:space="preserve">Completeness score</t>
  </si>
  <si>
    <t xml:space="preserve">Gate and cap settings</t>
  </si>
  <si>
    <t xml:space="preserve">Max wrong + unsupported claims allowed for PASS</t>
  </si>
  <si>
    <t xml:space="preserve">Hard gate. Any invented or wrong claim above this limit makes the output FAIL, regardless of its average score.</t>
  </si>
  <si>
    <t xml:space="preserve">Accuracy cap when a Critical error exists</t>
  </si>
  <si>
    <t xml:space="preserve">A Critical error (see severity table) cannot score above this Accuracy value.</t>
  </si>
  <si>
    <t xml:space="preserve">Error severity (use the same terms in the hallucination log)</t>
  </si>
  <si>
    <t xml:space="preserve">Severity</t>
  </si>
  <si>
    <t xml:space="preserve">Definition</t>
  </si>
  <si>
    <t xml:space="preserve">Examples</t>
  </si>
  <si>
    <t xml:space="preserve">Critical</t>
  </si>
  <si>
    <t xml:space="preserve">Invented or wrong fact that would send the response in the wrong direction, or breaks a core evidence rule.</t>
  </si>
  <si>
    <t xml:space="preserve">Invented IOC, user, host or IP. Scenario stage stated as confirmed without evidence. Claims containment was performed. Benign decoy called a confirmed attack. Claims DC compromise or data loss without evidence.</t>
  </si>
  <si>
    <t xml:space="preserve">High</t>
  </si>
  <si>
    <t xml:space="preserve">Wrong fact on a material finding, but the overall picture stays correct.</t>
  </si>
  <si>
    <t xml:space="preserve">Wrong ATT&amp;CK mapping on a key finding. Wrong host or user on one finding. Wrong severity or disposition (not the decoy).</t>
  </si>
  <si>
    <t xml:space="preserve">Medium</t>
  </si>
  <si>
    <t xml:space="preserve">Wrong or missing detail that does not change the conclusion.</t>
  </si>
  <si>
    <t xml:space="preserve">Wrong timestamp by minutes. Missing or wrong evidence reference. Wrong confidence level.</t>
  </si>
  <si>
    <t xml:space="preserve">Low</t>
  </si>
  <si>
    <t xml:space="preserve">Cosmetic or formatting error.</t>
  </si>
  <si>
    <t xml:space="preserve">Wrong table column order. Missing label. Non-UTC format on an otherwise correct time.</t>
  </si>
  <si>
    <t xml:space="preserve">Pass/Fail checks (mirror of the Evaluation Record in every /ai-outputs file)</t>
  </si>
  <si>
    <t xml:space="preserve">Evaluation criterion</t>
  </si>
  <si>
    <t xml:space="preserve">Result values</t>
  </si>
  <si>
    <t xml:space="preserve">How to verify</t>
  </si>
  <si>
    <t xml:space="preserve">Counts as FAIL when</t>
  </si>
  <si>
    <t xml:space="preserve">Expected output format followed</t>
  </si>
  <si>
    <t xml:space="preserve">Pass / Fail</t>
  </si>
  <si>
    <t xml:space="preserve">Compare section headings and order with the selected task format (A to H) in the SOC prompt.</t>
  </si>
  <si>
    <t xml:space="preserve">A required section is missing, or extra text appears outside the selected format.</t>
  </si>
  <si>
    <t xml:space="preserve">Required findings included</t>
  </si>
  <si>
    <t xml:space="preserve">Check against the Answer Key IDs for this task and slice.</t>
  </si>
  <si>
    <t xml:space="preserve">A key item marked as required in the key is missing, or the core finding is wrong.</t>
  </si>
  <si>
    <t xml:space="preserve">Evidence references accurate</t>
  </si>
  <si>
    <t xml:space="preserve">Open each cited file and event ID, line number or timestamp and confirm it exists and says what the output claims.</t>
  </si>
  <si>
    <t xml:space="preserve">Any reference points to something that does not exist or does not support the claim.</t>
  </si>
  <si>
    <t xml:space="preserve">Unsupported claims identified</t>
  </si>
  <si>
    <t xml:space="preserve">Count</t>
  </si>
  <si>
    <t xml:space="preserve">Count statements with no support in the supplied evidence, including any negative control (NC-xx) in the Answer Key.</t>
  </si>
  <si>
    <t xml:space="preserve">Count is above the PASS limit on the Rubric tab (default 0).</t>
  </si>
  <si>
    <t xml:space="preserve">Scenario treated as evidence incorrectly</t>
  </si>
  <si>
    <t xml:space="preserve">Yes / No</t>
  </si>
  <si>
    <t xml:space="preserve">Check whether the output states a scenario-only stage as Confirmed.</t>
  </si>
  <si>
    <t xml:space="preserve">Answer is Yes.</t>
  </si>
  <si>
    <t xml:space="preserve">IOC extraction accuracy (Task 5 only)</t>
  </si>
  <si>
    <t xml:space="preserve">Value or N/A</t>
  </si>
  <si>
    <t xml:space="preserve">Correct IOCs found / 9, with false IOCs counted separately. Internal assets listed as IOCs are false IOCs.</t>
  </si>
  <si>
    <t xml:space="preserve">Any invented IOC (also a Critical error).</t>
  </si>
  <si>
    <t xml:space="preserve">Human reviewer decision</t>
  </si>
  <si>
    <t xml:space="preserve">Accept / Revise</t>
  </si>
  <si>
    <t xml:space="preserve">Reviewer's decision after reading the output and this sheet.</t>
  </si>
  <si>
    <t xml:space="preserve">Not applicable. Revise is expected on any FAIL.</t>
  </si>
  <si>
    <t xml:space="preserve">Reviewer and review date</t>
  </si>
  <si>
    <t xml:space="preserve">Name / UTC date</t>
  </si>
  <si>
    <t xml:space="preserve">Reviewer identity and date in ISO 8601.</t>
  </si>
  <si>
    <t xml:space="preserve">Missing reviewer or date.</t>
  </si>
  <si>
    <t xml:space="preserve">Scoring Sheet: task x model</t>
  </si>
  <si>
    <t xml:space="preserve">Fill the yellow cells. Scores in black are formulas. Row 5 is a worked example (model = EXAMPLE) and is ignored by the summary.</t>
  </si>
  <si>
    <t xml:space="preserve">Test case ID</t>
  </si>
  <si>
    <t xml:space="preserve">Task</t>
  </si>
  <si>
    <t xml:space="preserve">Model</t>
  </si>
  <si>
    <t xml:space="preserve">Output file (request ID)</t>
  </si>
  <si>
    <t xml:space="preserve">Key items total</t>
  </si>
  <si>
    <t xml:space="preserve">Key items found</t>
  </si>
  <si>
    <t xml:space="preserve">Wrong claims</t>
  </si>
  <si>
    <t xml:space="preserve">Unsupported claims</t>
  </si>
  <si>
    <t xml:space="preserve">Critical error? (Yes/No)</t>
  </si>
  <si>
    <t xml:space="preserve">Completeness %</t>
  </si>
  <si>
    <t xml:space="preserve">Usefulness score (1-5)</t>
  </si>
  <si>
    <t xml:space="preserve">Average score</t>
  </si>
  <si>
    <t xml:space="preserve">Format followed</t>
  </si>
  <si>
    <t xml:space="preserve">Evidence refs accurate</t>
  </si>
  <si>
    <t xml:space="preserve">Scenario treated as evidence? (Yes/No)</t>
  </si>
  <si>
    <t xml:space="preserve">Overall result</t>
  </si>
  <si>
    <t xml:space="preserve">Reviewer decision</t>
  </si>
  <si>
    <t xml:space="preserve">Reviewer</t>
  </si>
  <si>
    <t xml:space="preserve">Review date (UTC)</t>
  </si>
  <si>
    <t xml:space="preserve">Notes</t>
  </si>
  <si>
    <t xml:space="preserve">BM-T1</t>
  </si>
  <si>
    <t xml:space="preserve">Log analysis</t>
  </si>
  <si>
    <t xml:space="preserve">EXAMPLE</t>
  </si>
  <si>
    <t xml:space="preserve">20261026-example-log-analysis</t>
  </si>
  <si>
    <t xml:space="preserve">No</t>
  </si>
  <si>
    <t xml:space="preserve">Pass</t>
  </si>
  <si>
    <t xml:space="preserve">Revise</t>
  </si>
  <si>
    <t xml:space="preserve">Mina</t>
  </si>
  <si>
    <t xml:space="preserve">2026-10-26</t>
  </si>
  <si>
    <t xml:space="preserve">Example only: 5 of 6 Windows items found, 1 invented IP -&gt; accuracy 4, FAIL gate.</t>
  </si>
  <si>
    <t xml:space="preserve">Llama 3.1 8B</t>
  </si>
  <si>
    <t xml:space="preserve">Mistral 7B</t>
  </si>
  <si>
    <t xml:space="preserve">Phi-3 Mini</t>
  </si>
  <si>
    <t xml:space="preserve">BM-T2</t>
  </si>
  <si>
    <t xml:space="preserve">Alert triage</t>
  </si>
  <si>
    <t xml:space="preserve">BM-T3</t>
  </si>
  <si>
    <t xml:space="preserve">Threat summarization</t>
  </si>
  <si>
    <t xml:space="preserve">BM-T4</t>
  </si>
  <si>
    <t xml:space="preserve">Report writing</t>
  </si>
  <si>
    <t xml:space="preserve">BM-T5</t>
  </si>
  <si>
    <t xml:space="preserve">IOC extraction</t>
  </si>
  <si>
    <t xml:space="preserve">Notes: Key items total comes from the Answer Key (Task 1 per slice: W 6, L 6, N 2; Task 2: 4; Task 3: 10; Task 4: 9; Task 5: 9). Task 1 can be scored per slice by adding rows.</t>
  </si>
  <si>
    <t xml:space="preserve">Accuracy = lookup on (wrong + unsupported claims), capped when a Critical error exists. Completeness = lookup on found / total. Overall = FAIL if any check is Fail, scenario misuse = Yes, or claims exceed the PASS limit (Rubric!B20).</t>
  </si>
  <si>
    <t xml:space="preserve">Model Summary (calculated from the Scoring Sheet)</t>
  </si>
  <si>
    <t xml:space="preserve">No input needed on this tab. Blank until scored rows exist.</t>
  </si>
  <si>
    <t xml:space="preserve">Avg Accuracy</t>
  </si>
  <si>
    <t xml:space="preserve">Avg Completeness</t>
  </si>
  <si>
    <t xml:space="preserve">Avg Usefulness</t>
  </si>
  <si>
    <t xml:space="preserve">Avg overall score</t>
  </si>
  <si>
    <t xml:space="preserve">PASS count</t>
  </si>
  <si>
    <t xml:space="preserve">FAIL count</t>
  </si>
  <si>
    <t xml:space="preserve">Total wrong claims</t>
  </si>
  <si>
    <t xml:space="preserve">Total unsupported claims</t>
  </si>
  <si>
    <t xml:space="preserve">Outputs scored</t>
  </si>
  <si>
    <t xml:space="preserve">Average overall score by task and model</t>
  </si>
  <si>
    <t xml:space="preserve">Models are matched by exact name. Scores of the EXAMPLE row are excluded.</t>
  </si>
</sst>
</file>

<file path=xl/styles.xml><?xml version="1.0" encoding="utf-8"?>
<styleSheet xmlns="http://schemas.openxmlformats.org/spreadsheetml/2006/main">
  <numFmts count="3">
    <numFmt numFmtId="164" formatCode="General"/>
    <numFmt numFmtId="165" formatCode="0%"/>
    <numFmt numFmtId="166" formatCode="0.0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95959"/>
      <name val="Arial"/>
      <family val="0"/>
      <charset val="1"/>
    </font>
    <font>
      <b val="true"/>
      <sz val="10"/>
      <name val="Arial"/>
      <family val="0"/>
      <charset val="1"/>
    </font>
    <font>
      <sz val="10"/>
      <name val="Arial"/>
      <family val="0"/>
      <charset val="1"/>
    </font>
    <font>
      <b val="true"/>
      <sz val="10"/>
      <color rgb="FFFFFFFF"/>
      <name val="Arial"/>
      <family val="0"/>
      <charset val="1"/>
    </font>
    <font>
      <b val="true"/>
      <sz val="11"/>
      <name val="Arial"/>
      <family val="0"/>
      <charset val="1"/>
    </font>
    <font>
      <sz val="10"/>
      <color rgb="FF0000FF"/>
      <name val="Arial"/>
      <family val="0"/>
      <charset val="1"/>
    </font>
    <font>
      <i val="true"/>
      <sz val="10"/>
      <name val="Arial"/>
      <family val="0"/>
      <charset val="1"/>
    </font>
  </fonts>
  <fills count="6">
    <fill>
      <patternFill patternType="none"/>
    </fill>
    <fill>
      <patternFill patternType="gray125"/>
    </fill>
    <fill>
      <patternFill patternType="solid">
        <fgColor rgb="FFD9E2F3"/>
        <bgColor rgb="FFEDEDED"/>
      </patternFill>
    </fill>
    <fill>
      <patternFill patternType="solid">
        <fgColor rgb="FF1F3864"/>
        <bgColor rgb="FF333333"/>
      </patternFill>
    </fill>
    <fill>
      <patternFill patternType="solid">
        <fgColor rgb="FFEDEDED"/>
        <bgColor rgb="FFD9E2F3"/>
      </patternFill>
    </fill>
    <fill>
      <patternFill patternType="solid">
        <fgColor rgb="FFFFFF00"/>
        <bgColor rgb="FFFFFF00"/>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5" fontId="10" fillId="0"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5" fontId="11"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DEDED"/>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99999"/>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0"/>
  </cols>
  <sheetData>
    <row r="1" customFormat="false" ht="17.35" hidden="false" customHeight="false" outlineLevel="0" collapsed="false">
      <c r="A1" s="1" t="s">
        <v>0</v>
      </c>
    </row>
    <row r="2" customFormat="false" ht="15" hidden="false" customHeight="false" outlineLevel="0" collapsed="false">
      <c r="A2" s="2" t="s">
        <v>1</v>
      </c>
    </row>
    <row r="4" customFormat="false" ht="45" hidden="false" customHeight="true" outlineLevel="0" collapsed="false">
      <c r="A4" s="3" t="s">
        <v>2</v>
      </c>
      <c r="B4" s="4" t="s">
        <v>3</v>
      </c>
    </row>
    <row r="5" customFormat="false" ht="45" hidden="false" customHeight="true" outlineLevel="0" collapsed="false">
      <c r="A5" s="3" t="s">
        <v>4</v>
      </c>
      <c r="B5" s="4" t="s">
        <v>5</v>
      </c>
    </row>
    <row r="6" customFormat="false" ht="45" hidden="false" customHeight="true" outlineLevel="0" collapsed="false">
      <c r="A6" s="3" t="s">
        <v>6</v>
      </c>
      <c r="B6" s="4" t="s">
        <v>7</v>
      </c>
    </row>
    <row r="7" customFormat="false" ht="45" hidden="false" customHeight="true" outlineLevel="0" collapsed="false">
      <c r="A7" s="3" t="s">
        <v>8</v>
      </c>
      <c r="B7" s="4" t="s">
        <v>9</v>
      </c>
    </row>
    <row r="8" customFormat="false" ht="45" hidden="false" customHeight="true" outlineLevel="0" collapsed="false">
      <c r="A8" s="3" t="s">
        <v>10</v>
      </c>
      <c r="B8" s="4" t="s">
        <v>11</v>
      </c>
    </row>
    <row r="9" customFormat="false" ht="45" hidden="false" customHeight="true" outlineLevel="0" collapsed="false">
      <c r="A9" s="3" t="s">
        <v>12</v>
      </c>
      <c r="B9" s="4" t="s">
        <v>13</v>
      </c>
    </row>
    <row r="10" customFormat="false" ht="45" hidden="false" customHeight="true" outlineLevel="0" collapsed="false">
      <c r="A10" s="3" t="s">
        <v>14</v>
      </c>
      <c r="B10" s="4" t="s">
        <v>15</v>
      </c>
    </row>
    <row r="11" customFormat="false" ht="45" hidden="false" customHeight="true" outlineLevel="0" collapsed="false">
      <c r="A11" s="3" t="s">
        <v>16</v>
      </c>
      <c r="B11" s="4"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4" min="2" style="0" width="55"/>
    <col collapsed="false" customWidth="true" hidden="false" outlineLevel="0" max="5" min="5" style="0" width="18"/>
  </cols>
  <sheetData>
    <row r="1" customFormat="false" ht="17.35" hidden="false" customHeight="false" outlineLevel="0" collapsed="false">
      <c r="A1" s="1" t="s">
        <v>18</v>
      </c>
    </row>
    <row r="2" customFormat="false" ht="15" hidden="false" customHeight="false" outlineLevel="0" collapsed="false">
      <c r="A2" s="2" t="s">
        <v>19</v>
      </c>
    </row>
    <row r="4" customFormat="false" ht="15" hidden="false" customHeight="false" outlineLevel="0" collapsed="false">
      <c r="A4" s="5" t="s">
        <v>20</v>
      </c>
      <c r="B4" s="5" t="s">
        <v>21</v>
      </c>
      <c r="C4" s="5" t="s">
        <v>22</v>
      </c>
      <c r="D4" s="5" t="s">
        <v>23</v>
      </c>
    </row>
    <row r="5" customFormat="false" ht="61.5" hidden="false" customHeight="true" outlineLevel="0" collapsed="false">
      <c r="A5" s="6" t="n">
        <v>5</v>
      </c>
      <c r="B5" s="4" t="s">
        <v>24</v>
      </c>
      <c r="C5" s="4" t="s">
        <v>25</v>
      </c>
      <c r="D5" s="4" t="s">
        <v>26</v>
      </c>
    </row>
    <row r="6" customFormat="false" ht="61.5" hidden="false" customHeight="true" outlineLevel="0" collapsed="false">
      <c r="A6" s="6" t="n">
        <v>4</v>
      </c>
      <c r="B6" s="4" t="s">
        <v>27</v>
      </c>
      <c r="C6" s="4" t="s">
        <v>28</v>
      </c>
      <c r="D6" s="4" t="s">
        <v>29</v>
      </c>
    </row>
    <row r="7" customFormat="false" ht="61.5" hidden="false" customHeight="true" outlineLevel="0" collapsed="false">
      <c r="A7" s="6" t="n">
        <v>3</v>
      </c>
      <c r="B7" s="4" t="s">
        <v>30</v>
      </c>
      <c r="C7" s="4" t="s">
        <v>31</v>
      </c>
      <c r="D7" s="4" t="s">
        <v>32</v>
      </c>
    </row>
    <row r="8" customFormat="false" ht="61.5" hidden="false" customHeight="true" outlineLevel="0" collapsed="false">
      <c r="A8" s="6" t="n">
        <v>2</v>
      </c>
      <c r="B8" s="4" t="s">
        <v>33</v>
      </c>
      <c r="C8" s="4" t="s">
        <v>34</v>
      </c>
      <c r="D8" s="4" t="s">
        <v>35</v>
      </c>
    </row>
    <row r="9" customFormat="false" ht="61.5" hidden="false" customHeight="true" outlineLevel="0" collapsed="false">
      <c r="A9" s="6" t="n">
        <v>1</v>
      </c>
      <c r="B9" s="4" t="s">
        <v>36</v>
      </c>
      <c r="C9" s="4" t="s">
        <v>37</v>
      </c>
      <c r="D9" s="4" t="s">
        <v>38</v>
      </c>
    </row>
    <row r="11" customFormat="false" ht="15" hidden="false" customHeight="false" outlineLevel="0" collapsed="false">
      <c r="A11" s="7" t="s">
        <v>39</v>
      </c>
    </row>
    <row r="12" customFormat="false" ht="23.85" hidden="false" customHeight="false" outlineLevel="0" collapsed="false">
      <c r="A12" s="5" t="s">
        <v>40</v>
      </c>
      <c r="B12" s="5" t="s">
        <v>41</v>
      </c>
      <c r="D12" s="5" t="s">
        <v>42</v>
      </c>
      <c r="E12" s="5" t="s">
        <v>43</v>
      </c>
    </row>
    <row r="13" customFormat="false" ht="15" hidden="false" customHeight="false" outlineLevel="0" collapsed="false">
      <c r="A13" s="8" t="n">
        <v>0</v>
      </c>
      <c r="B13" s="8" t="n">
        <v>5</v>
      </c>
      <c r="D13" s="9" t="n">
        <v>0</v>
      </c>
      <c r="E13" s="8" t="n">
        <v>1</v>
      </c>
    </row>
    <row r="14" customFormat="false" ht="15" hidden="false" customHeight="false" outlineLevel="0" collapsed="false">
      <c r="A14" s="8" t="n">
        <v>1</v>
      </c>
      <c r="B14" s="8" t="n">
        <v>4</v>
      </c>
      <c r="D14" s="9" t="n">
        <v>0.25</v>
      </c>
      <c r="E14" s="8" t="n">
        <v>2</v>
      </c>
    </row>
    <row r="15" customFormat="false" ht="15" hidden="false" customHeight="false" outlineLevel="0" collapsed="false">
      <c r="A15" s="8" t="n">
        <v>2</v>
      </c>
      <c r="B15" s="8" t="n">
        <v>3</v>
      </c>
      <c r="D15" s="9" t="n">
        <v>0.5</v>
      </c>
      <c r="E15" s="8" t="n">
        <v>3</v>
      </c>
    </row>
    <row r="16" customFormat="false" ht="15" hidden="false" customHeight="false" outlineLevel="0" collapsed="false">
      <c r="A16" s="8" t="n">
        <v>4</v>
      </c>
      <c r="B16" s="8" t="n">
        <v>2</v>
      </c>
      <c r="D16" s="9" t="n">
        <v>0.75</v>
      </c>
      <c r="E16" s="8" t="n">
        <v>4</v>
      </c>
    </row>
    <row r="17" customFormat="false" ht="15" hidden="false" customHeight="false" outlineLevel="0" collapsed="false">
      <c r="A17" s="8" t="n">
        <v>6</v>
      </c>
      <c r="B17" s="8" t="n">
        <v>1</v>
      </c>
      <c r="D17" s="9" t="n">
        <v>0.95</v>
      </c>
      <c r="E17" s="8" t="n">
        <v>5</v>
      </c>
    </row>
    <row r="19" customFormat="false" ht="15" hidden="false" customHeight="false" outlineLevel="0" collapsed="false">
      <c r="A19" s="7" t="s">
        <v>44</v>
      </c>
    </row>
    <row r="20" customFormat="false" ht="39.75" hidden="false" customHeight="true" outlineLevel="0" collapsed="false">
      <c r="A20" s="4" t="s">
        <v>45</v>
      </c>
      <c r="B20" s="8" t="n">
        <v>0</v>
      </c>
      <c r="D20" s="10" t="s">
        <v>46</v>
      </c>
      <c r="E20" s="10"/>
    </row>
    <row r="21" customFormat="false" ht="39.75" hidden="false" customHeight="true" outlineLevel="0" collapsed="false">
      <c r="A21" s="4" t="s">
        <v>47</v>
      </c>
      <c r="B21" s="8" t="n">
        <v>2</v>
      </c>
      <c r="D21" s="10" t="s">
        <v>48</v>
      </c>
      <c r="E21" s="10"/>
    </row>
    <row r="24" customFormat="false" ht="15" hidden="false" customHeight="false" outlineLevel="0" collapsed="false">
      <c r="A24" s="7" t="s">
        <v>49</v>
      </c>
    </row>
    <row r="25" customFormat="false" ht="15" hidden="false" customHeight="false" outlineLevel="0" collapsed="false">
      <c r="A25" s="5" t="s">
        <v>50</v>
      </c>
      <c r="B25" s="5" t="s">
        <v>51</v>
      </c>
      <c r="C25" s="5" t="s">
        <v>52</v>
      </c>
    </row>
    <row r="26" customFormat="false" ht="61.5" hidden="false" customHeight="true" outlineLevel="0" collapsed="false">
      <c r="A26" s="11" t="s">
        <v>53</v>
      </c>
      <c r="B26" s="4" t="s">
        <v>54</v>
      </c>
      <c r="C26" s="4" t="s">
        <v>55</v>
      </c>
    </row>
    <row r="27" customFormat="false" ht="61.5" hidden="false" customHeight="true" outlineLevel="0" collapsed="false">
      <c r="A27" s="11" t="s">
        <v>56</v>
      </c>
      <c r="B27" s="4" t="s">
        <v>57</v>
      </c>
      <c r="C27" s="4" t="s">
        <v>58</v>
      </c>
    </row>
    <row r="28" customFormat="false" ht="61.5" hidden="false" customHeight="true" outlineLevel="0" collapsed="false">
      <c r="A28" s="11" t="s">
        <v>59</v>
      </c>
      <c r="B28" s="4" t="s">
        <v>60</v>
      </c>
      <c r="C28" s="4" t="s">
        <v>61</v>
      </c>
    </row>
    <row r="29" customFormat="false" ht="61.5" hidden="false" customHeight="true" outlineLevel="0" collapsed="false">
      <c r="A29" s="11" t="s">
        <v>62</v>
      </c>
      <c r="B29" s="4" t="s">
        <v>63</v>
      </c>
      <c r="C29" s="4" t="s">
        <v>64</v>
      </c>
    </row>
  </sheetData>
  <mergeCells count="2">
    <mergeCell ref="D20:E20"/>
    <mergeCell ref="D21:E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8"/>
    <col collapsed="false" customWidth="true" hidden="false" outlineLevel="0" max="3" min="3" style="0" width="70"/>
    <col collapsed="false" customWidth="true" hidden="false" outlineLevel="0" max="4" min="4" style="0" width="60"/>
  </cols>
  <sheetData>
    <row r="1" customFormat="false" ht="17.35" hidden="false" customHeight="false" outlineLevel="0" collapsed="false">
      <c r="A1" s="1" t="s">
        <v>65</v>
      </c>
    </row>
    <row r="3" customFormat="false" ht="15" hidden="false" customHeight="false" outlineLevel="0" collapsed="false">
      <c r="A3" s="5" t="s">
        <v>66</v>
      </c>
      <c r="B3" s="5" t="s">
        <v>67</v>
      </c>
      <c r="C3" s="5" t="s">
        <v>68</v>
      </c>
      <c r="D3" s="5" t="s">
        <v>69</v>
      </c>
    </row>
    <row r="4" customFormat="false" ht="54.75" hidden="false" customHeight="true" outlineLevel="0" collapsed="false">
      <c r="A4" s="11" t="s">
        <v>70</v>
      </c>
      <c r="B4" s="4" t="s">
        <v>71</v>
      </c>
      <c r="C4" s="4" t="s">
        <v>72</v>
      </c>
      <c r="D4" s="4" t="s">
        <v>73</v>
      </c>
    </row>
    <row r="5" customFormat="false" ht="54.75" hidden="false" customHeight="true" outlineLevel="0" collapsed="false">
      <c r="A5" s="11" t="s">
        <v>74</v>
      </c>
      <c r="B5" s="4" t="s">
        <v>71</v>
      </c>
      <c r="C5" s="4" t="s">
        <v>75</v>
      </c>
      <c r="D5" s="4" t="s">
        <v>76</v>
      </c>
    </row>
    <row r="6" customFormat="false" ht="54.75" hidden="false" customHeight="true" outlineLevel="0" collapsed="false">
      <c r="A6" s="11" t="s">
        <v>77</v>
      </c>
      <c r="B6" s="4" t="s">
        <v>71</v>
      </c>
      <c r="C6" s="4" t="s">
        <v>78</v>
      </c>
      <c r="D6" s="4" t="s">
        <v>79</v>
      </c>
    </row>
    <row r="7" customFormat="false" ht="54.75" hidden="false" customHeight="true" outlineLevel="0" collapsed="false">
      <c r="A7" s="11" t="s">
        <v>80</v>
      </c>
      <c r="B7" s="4" t="s">
        <v>81</v>
      </c>
      <c r="C7" s="4" t="s">
        <v>82</v>
      </c>
      <c r="D7" s="4" t="s">
        <v>83</v>
      </c>
    </row>
    <row r="8" customFormat="false" ht="54.75" hidden="false" customHeight="true" outlineLevel="0" collapsed="false">
      <c r="A8" s="11" t="s">
        <v>84</v>
      </c>
      <c r="B8" s="4" t="s">
        <v>85</v>
      </c>
      <c r="C8" s="4" t="s">
        <v>86</v>
      </c>
      <c r="D8" s="4" t="s">
        <v>87</v>
      </c>
    </row>
    <row r="9" customFormat="false" ht="54.75" hidden="false" customHeight="true" outlineLevel="0" collapsed="false">
      <c r="A9" s="11" t="s">
        <v>88</v>
      </c>
      <c r="B9" s="4" t="s">
        <v>89</v>
      </c>
      <c r="C9" s="4" t="s">
        <v>90</v>
      </c>
      <c r="D9" s="4" t="s">
        <v>91</v>
      </c>
    </row>
    <row r="10" customFormat="false" ht="54.75" hidden="false" customHeight="true" outlineLevel="0" collapsed="false">
      <c r="A10" s="11" t="s">
        <v>92</v>
      </c>
      <c r="B10" s="4" t="s">
        <v>93</v>
      </c>
      <c r="C10" s="4" t="s">
        <v>94</v>
      </c>
      <c r="D10" s="4" t="s">
        <v>95</v>
      </c>
    </row>
    <row r="11" customFormat="false" ht="54.75" hidden="false" customHeight="true" outlineLevel="0" collapsed="false">
      <c r="A11" s="11" t="s">
        <v>96</v>
      </c>
      <c r="B11" s="4" t="s">
        <v>97</v>
      </c>
      <c r="C11" s="4" t="s">
        <v>98</v>
      </c>
      <c r="D11" s="4" t="s">
        <v>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0"/>
    <col collapsed="false" customWidth="true" hidden="false" outlineLevel="0" max="3" min="3" style="0" width="15"/>
    <col collapsed="false" customWidth="true" hidden="false" outlineLevel="0" max="4" min="4" style="0" width="30"/>
    <col collapsed="false" customWidth="true" hidden="false" outlineLevel="0" max="7" min="5" style="0" width="9"/>
    <col collapsed="false" customWidth="true" hidden="false" outlineLevel="0" max="9" min="8" style="0" width="11"/>
    <col collapsed="false" customWidth="true" hidden="false" outlineLevel="0" max="10" min="10" style="0" width="12"/>
    <col collapsed="false" customWidth="true" hidden="false" outlineLevel="0" max="11" min="11" style="0" width="10"/>
    <col collapsed="false" customWidth="true" hidden="false" outlineLevel="0" max="13" min="12" style="0" width="12"/>
    <col collapsed="false" customWidth="true" hidden="false" outlineLevel="0" max="15" min="14" style="0" width="10"/>
    <col collapsed="false" customWidth="true" hidden="false" outlineLevel="0" max="16" min="16" style="0" width="12"/>
    <col collapsed="false" customWidth="true" hidden="false" outlineLevel="0" max="17" min="17" style="0" width="11"/>
    <col collapsed="false" customWidth="true" hidden="false" outlineLevel="0" max="18" min="18" style="0" width="14"/>
    <col collapsed="false" customWidth="true" hidden="false" outlineLevel="0" max="19" min="19" style="0" width="10"/>
    <col collapsed="false" customWidth="true" hidden="false" outlineLevel="0" max="20" min="20" style="0" width="11"/>
    <col collapsed="false" customWidth="true" hidden="false" outlineLevel="0" max="21" min="21" style="0" width="12"/>
    <col collapsed="false" customWidth="true" hidden="false" outlineLevel="0" max="22" min="22" style="0" width="13"/>
    <col collapsed="false" customWidth="true" hidden="false" outlineLevel="0" max="23" min="23" style="0" width="50"/>
  </cols>
  <sheetData>
    <row r="1" customFormat="false" ht="17.35" hidden="false" customHeight="false" outlineLevel="0" collapsed="false">
      <c r="A1" s="1" t="s">
        <v>100</v>
      </c>
    </row>
    <row r="2" customFormat="false" ht="15" hidden="false" customHeight="false" outlineLevel="0" collapsed="false">
      <c r="A2" s="2" t="s">
        <v>101</v>
      </c>
    </row>
    <row r="4" customFormat="false" ht="57.75" hidden="false" customHeight="true" outlineLevel="0" collapsed="false">
      <c r="A4" s="5" t="s">
        <v>102</v>
      </c>
      <c r="B4" s="5" t="s">
        <v>103</v>
      </c>
      <c r="C4" s="5" t="s">
        <v>104</v>
      </c>
      <c r="D4" s="5" t="s">
        <v>105</v>
      </c>
      <c r="E4" s="5" t="s">
        <v>106</v>
      </c>
      <c r="F4" s="5" t="s">
        <v>107</v>
      </c>
      <c r="G4" s="5" t="s">
        <v>108</v>
      </c>
      <c r="H4" s="5" t="s">
        <v>109</v>
      </c>
      <c r="I4" s="5" t="s">
        <v>110</v>
      </c>
      <c r="J4" s="5" t="s">
        <v>111</v>
      </c>
      <c r="K4" s="5" t="s">
        <v>41</v>
      </c>
      <c r="L4" s="5" t="s">
        <v>43</v>
      </c>
      <c r="M4" s="5" t="s">
        <v>112</v>
      </c>
      <c r="N4" s="5" t="s">
        <v>113</v>
      </c>
      <c r="O4" s="5" t="s">
        <v>114</v>
      </c>
      <c r="P4" s="5" t="s">
        <v>74</v>
      </c>
      <c r="Q4" s="5" t="s">
        <v>115</v>
      </c>
      <c r="R4" s="5" t="s">
        <v>116</v>
      </c>
      <c r="S4" s="5" t="s">
        <v>117</v>
      </c>
      <c r="T4" s="5" t="s">
        <v>118</v>
      </c>
      <c r="U4" s="5" t="s">
        <v>119</v>
      </c>
      <c r="V4" s="5" t="s">
        <v>120</v>
      </c>
      <c r="W4" s="5" t="s">
        <v>121</v>
      </c>
    </row>
    <row r="5" customFormat="false" ht="23.85" hidden="false" customHeight="false" outlineLevel="0" collapsed="false">
      <c r="A5" s="12" t="s">
        <v>122</v>
      </c>
      <c r="B5" s="12" t="s">
        <v>123</v>
      </c>
      <c r="C5" s="12" t="s">
        <v>124</v>
      </c>
      <c r="D5" s="12" t="s">
        <v>125</v>
      </c>
      <c r="E5" s="13" t="n">
        <v>6</v>
      </c>
      <c r="F5" s="13" t="n">
        <v>5</v>
      </c>
      <c r="G5" s="13" t="n">
        <v>0</v>
      </c>
      <c r="H5" s="13" t="n">
        <v>1</v>
      </c>
      <c r="I5" s="13" t="s">
        <v>126</v>
      </c>
      <c r="J5" s="14" t="n">
        <f aca="false">IF(OR(E5="",F5="",E5=0),"",F5/E5)</f>
        <v>0.833333333333333</v>
      </c>
      <c r="K5" s="13" t="n">
        <f aca="false">IF(OR(G5="",H5=""),"",MIN(INDEX(Rubric!$B$13:$B$17,MATCH(G5+H5,Rubric!$A$13:$A$17,1)),IF(I5="Yes",Rubric!$B$21,5)))</f>
        <v>4</v>
      </c>
      <c r="L5" s="13" t="n">
        <f aca="false">IF(J5="","",INDEX(Rubric!$E$13:$E$17,MATCH(J5,Rubric!$D$13:$D$17,1)))</f>
        <v>4</v>
      </c>
      <c r="M5" s="13" t="n">
        <v>3</v>
      </c>
      <c r="N5" s="13" t="n">
        <f aca="false">IF(COUNT(K5:M5)=3,ROUND(AVERAGE(K5:M5),2),"")</f>
        <v>3.67</v>
      </c>
      <c r="O5" s="13" t="s">
        <v>127</v>
      </c>
      <c r="P5" s="13" t="s">
        <v>127</v>
      </c>
      <c r="Q5" s="13" t="s">
        <v>127</v>
      </c>
      <c r="R5" s="13" t="s">
        <v>126</v>
      </c>
      <c r="S5" s="13" t="str">
        <f aca="false">IF(OR(E5="",F5="",G5="",H5="",O5="",P5="",Q5="",R5=""),"",IF(OR(O5="Fail",P5="Fail",Q5="Fail",R5="Yes",G5+H5&gt;Rubric!$B$20),"FAIL","PASS"))</f>
        <v>FAIL</v>
      </c>
      <c r="T5" s="13" t="s">
        <v>128</v>
      </c>
      <c r="U5" s="13" t="s">
        <v>129</v>
      </c>
      <c r="V5" s="13" t="s">
        <v>130</v>
      </c>
      <c r="W5" s="12" t="s">
        <v>131</v>
      </c>
    </row>
    <row r="6" customFormat="false" ht="15" hidden="false" customHeight="false" outlineLevel="0" collapsed="false">
      <c r="A6" s="4" t="s">
        <v>122</v>
      </c>
      <c r="B6" s="4" t="s">
        <v>123</v>
      </c>
      <c r="C6" s="4" t="s">
        <v>132</v>
      </c>
      <c r="D6" s="15"/>
      <c r="E6" s="16"/>
      <c r="F6" s="16"/>
      <c r="G6" s="16"/>
      <c r="H6" s="16"/>
      <c r="I6" s="17"/>
      <c r="J6" s="18" t="str">
        <f aca="false">IF(OR(E6="",F6="",E6=0),"",F6/E6)</f>
        <v/>
      </c>
      <c r="K6" s="19" t="str">
        <f aca="false">IF(OR(G6="",H6=""),"",MIN(INDEX(Rubric!$B$13:$B$17,MATCH(G6+H6,Rubric!$A$13:$A$17,1)),IF(I6="Yes",Rubric!$B$21,5)))</f>
        <v/>
      </c>
      <c r="L6" s="19" t="str">
        <f aca="false">IF(J6="","",INDEX(Rubric!$E$13:$E$17,MATCH(J6,Rubric!$D$13:$D$17,1)))</f>
        <v/>
      </c>
      <c r="M6" s="16"/>
      <c r="N6" s="19" t="str">
        <f aca="false">IF(COUNT(K6:M6)=3,ROUND(AVERAGE(K6:M6),2),"")</f>
        <v/>
      </c>
      <c r="O6" s="17"/>
      <c r="P6" s="17"/>
      <c r="Q6" s="17"/>
      <c r="R6" s="17"/>
      <c r="S6" s="6" t="str">
        <f aca="false">IF(OR(E6="",F6="",G6="",H6="",O6="",P6="",Q6="",R6=""),"",IF(OR(O6="Fail",P6="Fail",Q6="Fail",R6="Yes",G6+H6&gt;Rubric!$B$20),"FAIL","PASS"))</f>
        <v/>
      </c>
      <c r="T6" s="17"/>
      <c r="U6" s="17"/>
      <c r="V6" s="17"/>
      <c r="W6" s="15"/>
    </row>
    <row r="7" customFormat="false" ht="15" hidden="false" customHeight="false" outlineLevel="0" collapsed="false">
      <c r="A7" s="4" t="s">
        <v>122</v>
      </c>
      <c r="B7" s="4" t="s">
        <v>123</v>
      </c>
      <c r="C7" s="4" t="s">
        <v>133</v>
      </c>
      <c r="D7" s="15"/>
      <c r="E7" s="16"/>
      <c r="F7" s="16"/>
      <c r="G7" s="16"/>
      <c r="H7" s="16"/>
      <c r="I7" s="17"/>
      <c r="J7" s="18" t="str">
        <f aca="false">IF(OR(E7="",F7="",E7=0),"",F7/E7)</f>
        <v/>
      </c>
      <c r="K7" s="19" t="str">
        <f aca="false">IF(OR(G7="",H7=""),"",MIN(INDEX(Rubric!$B$13:$B$17,MATCH(G7+H7,Rubric!$A$13:$A$17,1)),IF(I7="Yes",Rubric!$B$21,5)))</f>
        <v/>
      </c>
      <c r="L7" s="19" t="str">
        <f aca="false">IF(J7="","",INDEX(Rubric!$E$13:$E$17,MATCH(J7,Rubric!$D$13:$D$17,1)))</f>
        <v/>
      </c>
      <c r="M7" s="16"/>
      <c r="N7" s="19" t="str">
        <f aca="false">IF(COUNT(K7:M7)=3,ROUND(AVERAGE(K7:M7),2),"")</f>
        <v/>
      </c>
      <c r="O7" s="17"/>
      <c r="P7" s="17"/>
      <c r="Q7" s="17"/>
      <c r="R7" s="17"/>
      <c r="S7" s="6" t="str">
        <f aca="false">IF(OR(E7="",F7="",G7="",H7="",O7="",P7="",Q7="",R7=""),"",IF(OR(O7="Fail",P7="Fail",Q7="Fail",R7="Yes",G7+H7&gt;Rubric!$B$20),"FAIL","PASS"))</f>
        <v/>
      </c>
      <c r="T7" s="17"/>
      <c r="U7" s="17"/>
      <c r="V7" s="17"/>
      <c r="W7" s="15"/>
    </row>
    <row r="8" customFormat="false" ht="15" hidden="false" customHeight="false" outlineLevel="0" collapsed="false">
      <c r="A8" s="4" t="s">
        <v>122</v>
      </c>
      <c r="B8" s="4" t="s">
        <v>123</v>
      </c>
      <c r="C8" s="4" t="s">
        <v>134</v>
      </c>
      <c r="D8" s="15"/>
      <c r="E8" s="16"/>
      <c r="F8" s="16"/>
      <c r="G8" s="16"/>
      <c r="H8" s="16"/>
      <c r="I8" s="17"/>
      <c r="J8" s="18" t="str">
        <f aca="false">IF(OR(E8="",F8="",E8=0),"",F8/E8)</f>
        <v/>
      </c>
      <c r="K8" s="19" t="str">
        <f aca="false">IF(OR(G8="",H8=""),"",MIN(INDEX(Rubric!$B$13:$B$17,MATCH(G8+H8,Rubric!$A$13:$A$17,1)),IF(I8="Yes",Rubric!$B$21,5)))</f>
        <v/>
      </c>
      <c r="L8" s="19" t="str">
        <f aca="false">IF(J8="","",INDEX(Rubric!$E$13:$E$17,MATCH(J8,Rubric!$D$13:$D$17,1)))</f>
        <v/>
      </c>
      <c r="M8" s="16"/>
      <c r="N8" s="19" t="str">
        <f aca="false">IF(COUNT(K8:M8)=3,ROUND(AVERAGE(K8:M8),2),"")</f>
        <v/>
      </c>
      <c r="O8" s="17"/>
      <c r="P8" s="17"/>
      <c r="Q8" s="17"/>
      <c r="R8" s="17"/>
      <c r="S8" s="6" t="str">
        <f aca="false">IF(OR(E8="",F8="",G8="",H8="",O8="",P8="",Q8="",R8=""),"",IF(OR(O8="Fail",P8="Fail",Q8="Fail",R8="Yes",G8+H8&gt;Rubric!$B$20),"FAIL","PASS"))</f>
        <v/>
      </c>
      <c r="T8" s="17"/>
      <c r="U8" s="17"/>
      <c r="V8" s="17"/>
      <c r="W8" s="15"/>
    </row>
    <row r="9" customFormat="false" ht="15" hidden="false" customHeight="false" outlineLevel="0" collapsed="false">
      <c r="A9" s="4" t="s">
        <v>135</v>
      </c>
      <c r="B9" s="4" t="s">
        <v>136</v>
      </c>
      <c r="C9" s="4" t="s">
        <v>132</v>
      </c>
      <c r="D9" s="15"/>
      <c r="E9" s="16"/>
      <c r="F9" s="16"/>
      <c r="G9" s="16"/>
      <c r="H9" s="16"/>
      <c r="I9" s="17"/>
      <c r="J9" s="18" t="str">
        <f aca="false">IF(OR(E9="",F9="",E9=0),"",F9/E9)</f>
        <v/>
      </c>
      <c r="K9" s="19" t="str">
        <f aca="false">IF(OR(G9="",H9=""),"",MIN(INDEX(Rubric!$B$13:$B$17,MATCH(G9+H9,Rubric!$A$13:$A$17,1)),IF(I9="Yes",Rubric!$B$21,5)))</f>
        <v/>
      </c>
      <c r="L9" s="19" t="str">
        <f aca="false">IF(J9="","",INDEX(Rubric!$E$13:$E$17,MATCH(J9,Rubric!$D$13:$D$17,1)))</f>
        <v/>
      </c>
      <c r="M9" s="16"/>
      <c r="N9" s="19" t="str">
        <f aca="false">IF(COUNT(K9:M9)=3,ROUND(AVERAGE(K9:M9),2),"")</f>
        <v/>
      </c>
      <c r="O9" s="17"/>
      <c r="P9" s="17"/>
      <c r="Q9" s="17"/>
      <c r="R9" s="17"/>
      <c r="S9" s="6" t="str">
        <f aca="false">IF(OR(E9="",F9="",G9="",H9="",O9="",P9="",Q9="",R9=""),"",IF(OR(O9="Fail",P9="Fail",Q9="Fail",R9="Yes",G9+H9&gt;Rubric!$B$20),"FAIL","PASS"))</f>
        <v/>
      </c>
      <c r="T9" s="17"/>
      <c r="U9" s="17"/>
      <c r="V9" s="17"/>
      <c r="W9" s="15"/>
    </row>
    <row r="10" customFormat="false" ht="15" hidden="false" customHeight="false" outlineLevel="0" collapsed="false">
      <c r="A10" s="4" t="s">
        <v>135</v>
      </c>
      <c r="B10" s="4" t="s">
        <v>136</v>
      </c>
      <c r="C10" s="4" t="s">
        <v>133</v>
      </c>
      <c r="D10" s="15"/>
      <c r="E10" s="16"/>
      <c r="F10" s="16"/>
      <c r="G10" s="16"/>
      <c r="H10" s="16"/>
      <c r="I10" s="17"/>
      <c r="J10" s="18" t="str">
        <f aca="false">IF(OR(E10="",F10="",E10=0),"",F10/E10)</f>
        <v/>
      </c>
      <c r="K10" s="19" t="str">
        <f aca="false">IF(OR(G10="",H10=""),"",MIN(INDEX(Rubric!$B$13:$B$17,MATCH(G10+H10,Rubric!$A$13:$A$17,1)),IF(I10="Yes",Rubric!$B$21,5)))</f>
        <v/>
      </c>
      <c r="L10" s="19" t="str">
        <f aca="false">IF(J10="","",INDEX(Rubric!$E$13:$E$17,MATCH(J10,Rubric!$D$13:$D$17,1)))</f>
        <v/>
      </c>
      <c r="M10" s="16"/>
      <c r="N10" s="19" t="str">
        <f aca="false">IF(COUNT(K10:M10)=3,ROUND(AVERAGE(K10:M10),2),"")</f>
        <v/>
      </c>
      <c r="O10" s="17"/>
      <c r="P10" s="17"/>
      <c r="Q10" s="17"/>
      <c r="R10" s="17"/>
      <c r="S10" s="6" t="str">
        <f aca="false">IF(OR(E10="",F10="",G10="",H10="",O10="",P10="",Q10="",R10=""),"",IF(OR(O10="Fail",P10="Fail",Q10="Fail",R10="Yes",G10+H10&gt;Rubric!$B$20),"FAIL","PASS"))</f>
        <v/>
      </c>
      <c r="T10" s="17"/>
      <c r="U10" s="17"/>
      <c r="V10" s="17"/>
      <c r="W10" s="15"/>
    </row>
    <row r="11" customFormat="false" ht="15" hidden="false" customHeight="false" outlineLevel="0" collapsed="false">
      <c r="A11" s="4" t="s">
        <v>135</v>
      </c>
      <c r="B11" s="4" t="s">
        <v>136</v>
      </c>
      <c r="C11" s="4" t="s">
        <v>134</v>
      </c>
      <c r="D11" s="15"/>
      <c r="E11" s="16"/>
      <c r="F11" s="16"/>
      <c r="G11" s="16"/>
      <c r="H11" s="16"/>
      <c r="I11" s="17"/>
      <c r="J11" s="18" t="str">
        <f aca="false">IF(OR(E11="",F11="",E11=0),"",F11/E11)</f>
        <v/>
      </c>
      <c r="K11" s="19" t="str">
        <f aca="false">IF(OR(G11="",H11=""),"",MIN(INDEX(Rubric!$B$13:$B$17,MATCH(G11+H11,Rubric!$A$13:$A$17,1)),IF(I11="Yes",Rubric!$B$21,5)))</f>
        <v/>
      </c>
      <c r="L11" s="19" t="str">
        <f aca="false">IF(J11="","",INDEX(Rubric!$E$13:$E$17,MATCH(J11,Rubric!$D$13:$D$17,1)))</f>
        <v/>
      </c>
      <c r="M11" s="16"/>
      <c r="N11" s="19" t="str">
        <f aca="false">IF(COUNT(K11:M11)=3,ROUND(AVERAGE(K11:M11),2),"")</f>
        <v/>
      </c>
      <c r="O11" s="17"/>
      <c r="P11" s="17"/>
      <c r="Q11" s="17"/>
      <c r="R11" s="17"/>
      <c r="S11" s="6" t="str">
        <f aca="false">IF(OR(E11="",F11="",G11="",H11="",O11="",P11="",Q11="",R11=""),"",IF(OR(O11="Fail",P11="Fail",Q11="Fail",R11="Yes",G11+H11&gt;Rubric!$B$20),"FAIL","PASS"))</f>
        <v/>
      </c>
      <c r="T11" s="17"/>
      <c r="U11" s="17"/>
      <c r="V11" s="17"/>
      <c r="W11" s="15"/>
    </row>
    <row r="12" customFormat="false" ht="15" hidden="false" customHeight="false" outlineLevel="0" collapsed="false">
      <c r="A12" s="4" t="s">
        <v>137</v>
      </c>
      <c r="B12" s="4" t="s">
        <v>138</v>
      </c>
      <c r="C12" s="4" t="s">
        <v>132</v>
      </c>
      <c r="D12" s="15"/>
      <c r="E12" s="16"/>
      <c r="F12" s="16"/>
      <c r="G12" s="16"/>
      <c r="H12" s="16"/>
      <c r="I12" s="17"/>
      <c r="J12" s="18" t="str">
        <f aca="false">IF(OR(E12="",F12="",E12=0),"",F12/E12)</f>
        <v/>
      </c>
      <c r="K12" s="19" t="str">
        <f aca="false">IF(OR(G12="",H12=""),"",MIN(INDEX(Rubric!$B$13:$B$17,MATCH(G12+H12,Rubric!$A$13:$A$17,1)),IF(I12="Yes",Rubric!$B$21,5)))</f>
        <v/>
      </c>
      <c r="L12" s="19" t="str">
        <f aca="false">IF(J12="","",INDEX(Rubric!$E$13:$E$17,MATCH(J12,Rubric!$D$13:$D$17,1)))</f>
        <v/>
      </c>
      <c r="M12" s="16"/>
      <c r="N12" s="19" t="str">
        <f aca="false">IF(COUNT(K12:M12)=3,ROUND(AVERAGE(K12:M12),2),"")</f>
        <v/>
      </c>
      <c r="O12" s="17"/>
      <c r="P12" s="17"/>
      <c r="Q12" s="17"/>
      <c r="R12" s="17"/>
      <c r="S12" s="6" t="str">
        <f aca="false">IF(OR(E12="",F12="",G12="",H12="",O12="",P12="",Q12="",R12=""),"",IF(OR(O12="Fail",P12="Fail",Q12="Fail",R12="Yes",G12+H12&gt;Rubric!$B$20),"FAIL","PASS"))</f>
        <v/>
      </c>
      <c r="T12" s="17"/>
      <c r="U12" s="17"/>
      <c r="V12" s="17"/>
      <c r="W12" s="15"/>
    </row>
    <row r="13" customFormat="false" ht="15" hidden="false" customHeight="false" outlineLevel="0" collapsed="false">
      <c r="A13" s="4" t="s">
        <v>137</v>
      </c>
      <c r="B13" s="4" t="s">
        <v>138</v>
      </c>
      <c r="C13" s="4" t="s">
        <v>133</v>
      </c>
      <c r="D13" s="15"/>
      <c r="E13" s="16"/>
      <c r="F13" s="16"/>
      <c r="G13" s="16"/>
      <c r="H13" s="16"/>
      <c r="I13" s="17"/>
      <c r="J13" s="18" t="str">
        <f aca="false">IF(OR(E13="",F13="",E13=0),"",F13/E13)</f>
        <v/>
      </c>
      <c r="K13" s="19" t="str">
        <f aca="false">IF(OR(G13="",H13=""),"",MIN(INDEX(Rubric!$B$13:$B$17,MATCH(G13+H13,Rubric!$A$13:$A$17,1)),IF(I13="Yes",Rubric!$B$21,5)))</f>
        <v/>
      </c>
      <c r="L13" s="19" t="str">
        <f aca="false">IF(J13="","",INDEX(Rubric!$E$13:$E$17,MATCH(J13,Rubric!$D$13:$D$17,1)))</f>
        <v/>
      </c>
      <c r="M13" s="16"/>
      <c r="N13" s="19" t="str">
        <f aca="false">IF(COUNT(K13:M13)=3,ROUND(AVERAGE(K13:M13),2),"")</f>
        <v/>
      </c>
      <c r="O13" s="17"/>
      <c r="P13" s="17"/>
      <c r="Q13" s="17"/>
      <c r="R13" s="17"/>
      <c r="S13" s="6" t="str">
        <f aca="false">IF(OR(E13="",F13="",G13="",H13="",O13="",P13="",Q13="",R13=""),"",IF(OR(O13="Fail",P13="Fail",Q13="Fail",R13="Yes",G13+H13&gt;Rubric!$B$20),"FAIL","PASS"))</f>
        <v/>
      </c>
      <c r="T13" s="17"/>
      <c r="U13" s="17"/>
      <c r="V13" s="17"/>
      <c r="W13" s="15"/>
    </row>
    <row r="14" customFormat="false" ht="15" hidden="false" customHeight="false" outlineLevel="0" collapsed="false">
      <c r="A14" s="4" t="s">
        <v>137</v>
      </c>
      <c r="B14" s="4" t="s">
        <v>138</v>
      </c>
      <c r="C14" s="4" t="s">
        <v>134</v>
      </c>
      <c r="D14" s="15"/>
      <c r="E14" s="16"/>
      <c r="F14" s="16"/>
      <c r="G14" s="16"/>
      <c r="H14" s="16"/>
      <c r="I14" s="17"/>
      <c r="J14" s="18" t="str">
        <f aca="false">IF(OR(E14="",F14="",E14=0),"",F14/E14)</f>
        <v/>
      </c>
      <c r="K14" s="19" t="str">
        <f aca="false">IF(OR(G14="",H14=""),"",MIN(INDEX(Rubric!$B$13:$B$17,MATCH(G14+H14,Rubric!$A$13:$A$17,1)),IF(I14="Yes",Rubric!$B$21,5)))</f>
        <v/>
      </c>
      <c r="L14" s="19" t="str">
        <f aca="false">IF(J14="","",INDEX(Rubric!$E$13:$E$17,MATCH(J14,Rubric!$D$13:$D$17,1)))</f>
        <v/>
      </c>
      <c r="M14" s="16"/>
      <c r="N14" s="19" t="str">
        <f aca="false">IF(COUNT(K14:M14)=3,ROUND(AVERAGE(K14:M14),2),"")</f>
        <v/>
      </c>
      <c r="O14" s="17"/>
      <c r="P14" s="17"/>
      <c r="Q14" s="17"/>
      <c r="R14" s="17"/>
      <c r="S14" s="6" t="str">
        <f aca="false">IF(OR(E14="",F14="",G14="",H14="",O14="",P14="",Q14="",R14=""),"",IF(OR(O14="Fail",P14="Fail",Q14="Fail",R14="Yes",G14+H14&gt;Rubric!$B$20),"FAIL","PASS"))</f>
        <v/>
      </c>
      <c r="T14" s="17"/>
      <c r="U14" s="17"/>
      <c r="V14" s="17"/>
      <c r="W14" s="15"/>
    </row>
    <row r="15" customFormat="false" ht="15" hidden="false" customHeight="false" outlineLevel="0" collapsed="false">
      <c r="A15" s="4" t="s">
        <v>139</v>
      </c>
      <c r="B15" s="4" t="s">
        <v>140</v>
      </c>
      <c r="C15" s="4" t="s">
        <v>132</v>
      </c>
      <c r="D15" s="15"/>
      <c r="E15" s="16"/>
      <c r="F15" s="16"/>
      <c r="G15" s="16"/>
      <c r="H15" s="16"/>
      <c r="I15" s="17"/>
      <c r="J15" s="18" t="str">
        <f aca="false">IF(OR(E15="",F15="",E15=0),"",F15/E15)</f>
        <v/>
      </c>
      <c r="K15" s="19" t="str">
        <f aca="false">IF(OR(G15="",H15=""),"",MIN(INDEX(Rubric!$B$13:$B$17,MATCH(G15+H15,Rubric!$A$13:$A$17,1)),IF(I15="Yes",Rubric!$B$21,5)))</f>
        <v/>
      </c>
      <c r="L15" s="19" t="str">
        <f aca="false">IF(J15="","",INDEX(Rubric!$E$13:$E$17,MATCH(J15,Rubric!$D$13:$D$17,1)))</f>
        <v/>
      </c>
      <c r="M15" s="16"/>
      <c r="N15" s="19" t="str">
        <f aca="false">IF(COUNT(K15:M15)=3,ROUND(AVERAGE(K15:M15),2),"")</f>
        <v/>
      </c>
      <c r="O15" s="17"/>
      <c r="P15" s="17"/>
      <c r="Q15" s="17"/>
      <c r="R15" s="17"/>
      <c r="S15" s="6" t="str">
        <f aca="false">IF(OR(E15="",F15="",G15="",H15="",O15="",P15="",Q15="",R15=""),"",IF(OR(O15="Fail",P15="Fail",Q15="Fail",R15="Yes",G15+H15&gt;Rubric!$B$20),"FAIL","PASS"))</f>
        <v/>
      </c>
      <c r="T15" s="17"/>
      <c r="U15" s="17"/>
      <c r="V15" s="17"/>
      <c r="W15" s="15"/>
    </row>
    <row r="16" customFormat="false" ht="15" hidden="false" customHeight="false" outlineLevel="0" collapsed="false">
      <c r="A16" s="4" t="s">
        <v>139</v>
      </c>
      <c r="B16" s="4" t="s">
        <v>140</v>
      </c>
      <c r="C16" s="4" t="s">
        <v>133</v>
      </c>
      <c r="D16" s="15"/>
      <c r="E16" s="16"/>
      <c r="F16" s="16"/>
      <c r="G16" s="16"/>
      <c r="H16" s="16"/>
      <c r="I16" s="17"/>
      <c r="J16" s="18" t="str">
        <f aca="false">IF(OR(E16="",F16="",E16=0),"",F16/E16)</f>
        <v/>
      </c>
      <c r="K16" s="19" t="str">
        <f aca="false">IF(OR(G16="",H16=""),"",MIN(INDEX(Rubric!$B$13:$B$17,MATCH(G16+H16,Rubric!$A$13:$A$17,1)),IF(I16="Yes",Rubric!$B$21,5)))</f>
        <v/>
      </c>
      <c r="L16" s="19" t="str">
        <f aca="false">IF(J16="","",INDEX(Rubric!$E$13:$E$17,MATCH(J16,Rubric!$D$13:$D$17,1)))</f>
        <v/>
      </c>
      <c r="M16" s="16"/>
      <c r="N16" s="19" t="str">
        <f aca="false">IF(COUNT(K16:M16)=3,ROUND(AVERAGE(K16:M16),2),"")</f>
        <v/>
      </c>
      <c r="O16" s="17"/>
      <c r="P16" s="17"/>
      <c r="Q16" s="17"/>
      <c r="R16" s="17"/>
      <c r="S16" s="6" t="str">
        <f aca="false">IF(OR(E16="",F16="",G16="",H16="",O16="",P16="",Q16="",R16=""),"",IF(OR(O16="Fail",P16="Fail",Q16="Fail",R16="Yes",G16+H16&gt;Rubric!$B$20),"FAIL","PASS"))</f>
        <v/>
      </c>
      <c r="T16" s="17"/>
      <c r="U16" s="17"/>
      <c r="V16" s="17"/>
      <c r="W16" s="15"/>
    </row>
    <row r="17" customFormat="false" ht="15" hidden="false" customHeight="false" outlineLevel="0" collapsed="false">
      <c r="A17" s="4" t="s">
        <v>139</v>
      </c>
      <c r="B17" s="4" t="s">
        <v>140</v>
      </c>
      <c r="C17" s="4" t="s">
        <v>134</v>
      </c>
      <c r="D17" s="15"/>
      <c r="E17" s="16"/>
      <c r="F17" s="16"/>
      <c r="G17" s="16"/>
      <c r="H17" s="16"/>
      <c r="I17" s="17"/>
      <c r="J17" s="18" t="str">
        <f aca="false">IF(OR(E17="",F17="",E17=0),"",F17/E17)</f>
        <v/>
      </c>
      <c r="K17" s="19" t="str">
        <f aca="false">IF(OR(G17="",H17=""),"",MIN(INDEX(Rubric!$B$13:$B$17,MATCH(G17+H17,Rubric!$A$13:$A$17,1)),IF(I17="Yes",Rubric!$B$21,5)))</f>
        <v/>
      </c>
      <c r="L17" s="19" t="str">
        <f aca="false">IF(J17="","",INDEX(Rubric!$E$13:$E$17,MATCH(J17,Rubric!$D$13:$D$17,1)))</f>
        <v/>
      </c>
      <c r="M17" s="16"/>
      <c r="N17" s="19" t="str">
        <f aca="false">IF(COUNT(K17:M17)=3,ROUND(AVERAGE(K17:M17),2),"")</f>
        <v/>
      </c>
      <c r="O17" s="17"/>
      <c r="P17" s="17"/>
      <c r="Q17" s="17"/>
      <c r="R17" s="17"/>
      <c r="S17" s="6" t="str">
        <f aca="false">IF(OR(E17="",F17="",G17="",H17="",O17="",P17="",Q17="",R17=""),"",IF(OR(O17="Fail",P17="Fail",Q17="Fail",R17="Yes",G17+H17&gt;Rubric!$B$20),"FAIL","PASS"))</f>
        <v/>
      </c>
      <c r="T17" s="17"/>
      <c r="U17" s="17"/>
      <c r="V17" s="17"/>
      <c r="W17" s="15"/>
    </row>
    <row r="18" customFormat="false" ht="15" hidden="false" customHeight="false" outlineLevel="0" collapsed="false">
      <c r="A18" s="4" t="s">
        <v>141</v>
      </c>
      <c r="B18" s="4" t="s">
        <v>142</v>
      </c>
      <c r="C18" s="4" t="s">
        <v>132</v>
      </c>
      <c r="D18" s="15"/>
      <c r="E18" s="16"/>
      <c r="F18" s="16"/>
      <c r="G18" s="16"/>
      <c r="H18" s="16"/>
      <c r="I18" s="17"/>
      <c r="J18" s="18" t="str">
        <f aca="false">IF(OR(E18="",F18="",E18=0),"",F18/E18)</f>
        <v/>
      </c>
      <c r="K18" s="19" t="str">
        <f aca="false">IF(OR(G18="",H18=""),"",MIN(INDEX(Rubric!$B$13:$B$17,MATCH(G18+H18,Rubric!$A$13:$A$17,1)),IF(I18="Yes",Rubric!$B$21,5)))</f>
        <v/>
      </c>
      <c r="L18" s="19" t="str">
        <f aca="false">IF(J18="","",INDEX(Rubric!$E$13:$E$17,MATCH(J18,Rubric!$D$13:$D$17,1)))</f>
        <v/>
      </c>
      <c r="M18" s="16"/>
      <c r="N18" s="19" t="str">
        <f aca="false">IF(COUNT(K18:M18)=3,ROUND(AVERAGE(K18:M18),2),"")</f>
        <v/>
      </c>
      <c r="O18" s="17"/>
      <c r="P18" s="17"/>
      <c r="Q18" s="17"/>
      <c r="R18" s="17"/>
      <c r="S18" s="6" t="str">
        <f aca="false">IF(OR(E18="",F18="",G18="",H18="",O18="",P18="",Q18="",R18=""),"",IF(OR(O18="Fail",P18="Fail",Q18="Fail",R18="Yes",G18+H18&gt;Rubric!$B$20),"FAIL","PASS"))</f>
        <v/>
      </c>
      <c r="T18" s="17"/>
      <c r="U18" s="17"/>
      <c r="V18" s="17"/>
      <c r="W18" s="15"/>
    </row>
    <row r="19" customFormat="false" ht="15" hidden="false" customHeight="false" outlineLevel="0" collapsed="false">
      <c r="A19" s="4" t="s">
        <v>141</v>
      </c>
      <c r="B19" s="4" t="s">
        <v>142</v>
      </c>
      <c r="C19" s="4" t="s">
        <v>133</v>
      </c>
      <c r="D19" s="15"/>
      <c r="E19" s="16"/>
      <c r="F19" s="16"/>
      <c r="G19" s="16"/>
      <c r="H19" s="16"/>
      <c r="I19" s="17"/>
      <c r="J19" s="18" t="str">
        <f aca="false">IF(OR(E19="",F19="",E19=0),"",F19/E19)</f>
        <v/>
      </c>
      <c r="K19" s="19" t="str">
        <f aca="false">IF(OR(G19="",H19=""),"",MIN(INDEX(Rubric!$B$13:$B$17,MATCH(G19+H19,Rubric!$A$13:$A$17,1)),IF(I19="Yes",Rubric!$B$21,5)))</f>
        <v/>
      </c>
      <c r="L19" s="19" t="str">
        <f aca="false">IF(J19="","",INDEX(Rubric!$E$13:$E$17,MATCH(J19,Rubric!$D$13:$D$17,1)))</f>
        <v/>
      </c>
      <c r="M19" s="16"/>
      <c r="N19" s="19" t="str">
        <f aca="false">IF(COUNT(K19:M19)=3,ROUND(AVERAGE(K19:M19),2),"")</f>
        <v/>
      </c>
      <c r="O19" s="17"/>
      <c r="P19" s="17"/>
      <c r="Q19" s="17"/>
      <c r="R19" s="17"/>
      <c r="S19" s="6" t="str">
        <f aca="false">IF(OR(E19="",F19="",G19="",H19="",O19="",P19="",Q19="",R19=""),"",IF(OR(O19="Fail",P19="Fail",Q19="Fail",R19="Yes",G19+H19&gt;Rubric!$B$20),"FAIL","PASS"))</f>
        <v/>
      </c>
      <c r="T19" s="17"/>
      <c r="U19" s="17"/>
      <c r="V19" s="17"/>
      <c r="W19" s="15"/>
    </row>
    <row r="20" customFormat="false" ht="15" hidden="false" customHeight="false" outlineLevel="0" collapsed="false">
      <c r="A20" s="4" t="s">
        <v>141</v>
      </c>
      <c r="B20" s="4" t="s">
        <v>142</v>
      </c>
      <c r="C20" s="4" t="s">
        <v>134</v>
      </c>
      <c r="D20" s="15"/>
      <c r="E20" s="16"/>
      <c r="F20" s="16"/>
      <c r="G20" s="16"/>
      <c r="H20" s="16"/>
      <c r="I20" s="17"/>
      <c r="J20" s="18" t="str">
        <f aca="false">IF(OR(E20="",F20="",E20=0),"",F20/E20)</f>
        <v/>
      </c>
      <c r="K20" s="19" t="str">
        <f aca="false">IF(OR(G20="",H20=""),"",MIN(INDEX(Rubric!$B$13:$B$17,MATCH(G20+H20,Rubric!$A$13:$A$17,1)),IF(I20="Yes",Rubric!$B$21,5)))</f>
        <v/>
      </c>
      <c r="L20" s="19" t="str">
        <f aca="false">IF(J20="","",INDEX(Rubric!$E$13:$E$17,MATCH(J20,Rubric!$D$13:$D$17,1)))</f>
        <v/>
      </c>
      <c r="M20" s="16"/>
      <c r="N20" s="19" t="str">
        <f aca="false">IF(COUNT(K20:M20)=3,ROUND(AVERAGE(K20:M20),2),"")</f>
        <v/>
      </c>
      <c r="O20" s="17"/>
      <c r="P20" s="17"/>
      <c r="Q20" s="17"/>
      <c r="R20" s="17"/>
      <c r="S20" s="6" t="str">
        <f aca="false">IF(OR(E20="",F20="",G20="",H20="",O20="",P20="",Q20="",R20=""),"",IF(OR(O20="Fail",P20="Fail",Q20="Fail",R20="Yes",G20+H20&gt;Rubric!$B$20),"FAIL","PASS"))</f>
        <v/>
      </c>
      <c r="T20" s="17"/>
      <c r="U20" s="17"/>
      <c r="V20" s="17"/>
      <c r="W20" s="15"/>
    </row>
    <row r="22" customFormat="false" ht="15" hidden="false" customHeight="false" outlineLevel="0" collapsed="false">
      <c r="A22" s="2" t="s">
        <v>143</v>
      </c>
    </row>
    <row r="23" customFormat="false" ht="15" hidden="false" customHeight="false" outlineLevel="0" collapsed="false">
      <c r="A23" s="2" t="s">
        <v>144</v>
      </c>
    </row>
  </sheetData>
  <dataValidations count="8">
    <dataValidation allowBlank="true" errorStyle="stop" operator="between" showDropDown="false" showErrorMessage="false" showInputMessage="false" sqref="I6:I20" type="list">
      <formula1>"Yes,No"</formula1>
      <formula2>0</formula2>
    </dataValidation>
    <dataValidation allowBlank="true" errorStyle="stop" operator="between" showDropDown="false" showErrorMessage="false" showInputMessage="false" sqref="R6:R20" type="list">
      <formula1>"Yes,No"</formula1>
      <formula2>0</formula2>
    </dataValidation>
    <dataValidation allowBlank="true" errorStyle="stop" operator="between" showDropDown="false" showErrorMessage="false" showInputMessage="false" sqref="O6:O20" type="list">
      <formula1>"Pass,Fail"</formula1>
      <formula2>0</formula2>
    </dataValidation>
    <dataValidation allowBlank="true" errorStyle="stop" operator="between" showDropDown="false" showErrorMessage="false" showInputMessage="false" sqref="P6:P20" type="list">
      <formula1>"Pass,Fail"</formula1>
      <formula2>0</formula2>
    </dataValidation>
    <dataValidation allowBlank="true" errorStyle="stop" operator="between" showDropDown="false" showErrorMessage="false" showInputMessage="false" sqref="Q6:Q20" type="list">
      <formula1>"Pass,Fail"</formula1>
      <formula2>0</formula2>
    </dataValidation>
    <dataValidation allowBlank="true" errorStyle="stop" operator="between" showDropDown="false" showErrorMessage="false" showInputMessage="false" sqref="T6:T20" type="list">
      <formula1>"Accept,Revise"</formula1>
      <formula2>0</formula2>
    </dataValidation>
    <dataValidation allowBlank="true" errorStyle="stop" operator="between" showDropDown="false" showErrorMessage="false" showInputMessage="false" sqref="C6:C20" type="list">
      <formula1>"Llama 3.1 8B,Mistral 7B,Phi-3 Mini"</formula1>
      <formula2>0</formula2>
    </dataValidation>
    <dataValidation allowBlank="true" errorStyle="stop" operator="between" showDropDown="false" showErrorMessage="false" showInputMessage="false" sqref="M5:M20"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10" min="2" style="0" width="16"/>
  </cols>
  <sheetData>
    <row r="1" customFormat="false" ht="17.35" hidden="false" customHeight="false" outlineLevel="0" collapsed="false">
      <c r="A1" s="1" t="s">
        <v>145</v>
      </c>
    </row>
    <row r="2" customFormat="false" ht="15" hidden="false" customHeight="false" outlineLevel="0" collapsed="false">
      <c r="A2" s="2" t="s">
        <v>146</v>
      </c>
    </row>
    <row r="4" customFormat="false" ht="35.05" hidden="false" customHeight="false" outlineLevel="0" collapsed="false">
      <c r="A4" s="5" t="s">
        <v>104</v>
      </c>
      <c r="B4" s="5" t="s">
        <v>147</v>
      </c>
      <c r="C4" s="5" t="s">
        <v>148</v>
      </c>
      <c r="D4" s="5" t="s">
        <v>149</v>
      </c>
      <c r="E4" s="5" t="s">
        <v>150</v>
      </c>
      <c r="F4" s="5" t="s">
        <v>151</v>
      </c>
      <c r="G4" s="5" t="s">
        <v>152</v>
      </c>
      <c r="H4" s="5" t="s">
        <v>153</v>
      </c>
      <c r="I4" s="5" t="s">
        <v>154</v>
      </c>
      <c r="J4" s="5" t="s">
        <v>155</v>
      </c>
    </row>
    <row r="5" customFormat="false" ht="15" hidden="false" customHeight="false" outlineLevel="0" collapsed="false">
      <c r="A5" s="20" t="s">
        <v>132</v>
      </c>
      <c r="B5" s="21" t="str">
        <f aca="false">IFERROR(AVERAGEIFS('Scoring Sheet'!$K$6:$K$20,'Scoring Sheet'!$C$6:$C$20,$A5),"")</f>
        <v/>
      </c>
      <c r="C5" s="21" t="str">
        <f aca="false">IFERROR(AVERAGEIFS('Scoring Sheet'!$L$6:$L$20,'Scoring Sheet'!$C$6:$C$20,$A5),"")</f>
        <v/>
      </c>
      <c r="D5" s="21" t="str">
        <f aca="false">IFERROR(AVERAGEIFS('Scoring Sheet'!$M$6:$M$20,'Scoring Sheet'!$C$6:$C$20,$A5),"")</f>
        <v/>
      </c>
      <c r="E5" s="21" t="str">
        <f aca="false">IFERROR(AVERAGEIFS('Scoring Sheet'!$N$6:$N$20,'Scoring Sheet'!$C$6:$C$20,$A5),"")</f>
        <v/>
      </c>
      <c r="F5" s="19" t="n">
        <f aca="false">COUNTIFS('Scoring Sheet'!$C$6:$C$20,$A5,'Scoring Sheet'!$S$6:$S$20,"PASS")</f>
        <v>0</v>
      </c>
      <c r="G5" s="19" t="n">
        <f aca="false">COUNTIFS('Scoring Sheet'!$C$6:$C$20,$A5,'Scoring Sheet'!$S$6:$S$20,"FAIL")</f>
        <v>0</v>
      </c>
      <c r="H5" s="19" t="n">
        <f aca="false">SUMIFS('Scoring Sheet'!$G$6:$G$20,'Scoring Sheet'!$C$6:$C$20,$A5)</f>
        <v>0</v>
      </c>
      <c r="I5" s="19" t="n">
        <f aca="false">SUMIFS('Scoring Sheet'!$H$6:$H$20,'Scoring Sheet'!$C$6:$C$20,$A5)</f>
        <v>0</v>
      </c>
      <c r="J5" s="19" t="n">
        <f aca="false">F5+G5</f>
        <v>0</v>
      </c>
    </row>
    <row r="6" customFormat="false" ht="15" hidden="false" customHeight="false" outlineLevel="0" collapsed="false">
      <c r="A6" s="20" t="s">
        <v>133</v>
      </c>
      <c r="B6" s="21" t="str">
        <f aca="false">IFERROR(AVERAGEIFS('Scoring Sheet'!$K$6:$K$20,'Scoring Sheet'!$C$6:$C$20,$A6),"")</f>
        <v/>
      </c>
      <c r="C6" s="21" t="str">
        <f aca="false">IFERROR(AVERAGEIFS('Scoring Sheet'!$L$6:$L$20,'Scoring Sheet'!$C$6:$C$20,$A6),"")</f>
        <v/>
      </c>
      <c r="D6" s="21" t="str">
        <f aca="false">IFERROR(AVERAGEIFS('Scoring Sheet'!$M$6:$M$20,'Scoring Sheet'!$C$6:$C$20,$A6),"")</f>
        <v/>
      </c>
      <c r="E6" s="21" t="str">
        <f aca="false">IFERROR(AVERAGEIFS('Scoring Sheet'!$N$6:$N$20,'Scoring Sheet'!$C$6:$C$20,$A6),"")</f>
        <v/>
      </c>
      <c r="F6" s="19" t="n">
        <f aca="false">COUNTIFS('Scoring Sheet'!$C$6:$C$20,$A6,'Scoring Sheet'!$S$6:$S$20,"PASS")</f>
        <v>0</v>
      </c>
      <c r="G6" s="19" t="n">
        <f aca="false">COUNTIFS('Scoring Sheet'!$C$6:$C$20,$A6,'Scoring Sheet'!$S$6:$S$20,"FAIL")</f>
        <v>0</v>
      </c>
      <c r="H6" s="19" t="n">
        <f aca="false">SUMIFS('Scoring Sheet'!$G$6:$G$20,'Scoring Sheet'!$C$6:$C$20,$A6)</f>
        <v>0</v>
      </c>
      <c r="I6" s="19" t="n">
        <f aca="false">SUMIFS('Scoring Sheet'!$H$6:$H$20,'Scoring Sheet'!$C$6:$C$20,$A6)</f>
        <v>0</v>
      </c>
      <c r="J6" s="19" t="n">
        <f aca="false">F6+G6</f>
        <v>0</v>
      </c>
    </row>
    <row r="7" customFormat="false" ht="15" hidden="false" customHeight="false" outlineLevel="0" collapsed="false">
      <c r="A7" s="20" t="s">
        <v>134</v>
      </c>
      <c r="B7" s="21" t="str">
        <f aca="false">IFERROR(AVERAGEIFS('Scoring Sheet'!$K$6:$K$20,'Scoring Sheet'!$C$6:$C$20,$A7),"")</f>
        <v/>
      </c>
      <c r="C7" s="21" t="str">
        <f aca="false">IFERROR(AVERAGEIFS('Scoring Sheet'!$L$6:$L$20,'Scoring Sheet'!$C$6:$C$20,$A7),"")</f>
        <v/>
      </c>
      <c r="D7" s="21" t="str">
        <f aca="false">IFERROR(AVERAGEIFS('Scoring Sheet'!$M$6:$M$20,'Scoring Sheet'!$C$6:$C$20,$A7),"")</f>
        <v/>
      </c>
      <c r="E7" s="21" t="str">
        <f aca="false">IFERROR(AVERAGEIFS('Scoring Sheet'!$N$6:$N$20,'Scoring Sheet'!$C$6:$C$20,$A7),"")</f>
        <v/>
      </c>
      <c r="F7" s="19" t="n">
        <f aca="false">COUNTIFS('Scoring Sheet'!$C$6:$C$20,$A7,'Scoring Sheet'!$S$6:$S$20,"PASS")</f>
        <v>0</v>
      </c>
      <c r="G7" s="19" t="n">
        <f aca="false">COUNTIFS('Scoring Sheet'!$C$6:$C$20,$A7,'Scoring Sheet'!$S$6:$S$20,"FAIL")</f>
        <v>0</v>
      </c>
      <c r="H7" s="19" t="n">
        <f aca="false">SUMIFS('Scoring Sheet'!$G$6:$G$20,'Scoring Sheet'!$C$6:$C$20,$A7)</f>
        <v>0</v>
      </c>
      <c r="I7" s="19" t="n">
        <f aca="false">SUMIFS('Scoring Sheet'!$H$6:$H$20,'Scoring Sheet'!$C$6:$C$20,$A7)</f>
        <v>0</v>
      </c>
      <c r="J7" s="19" t="n">
        <f aca="false">F7+G7</f>
        <v>0</v>
      </c>
    </row>
    <row r="10" customFormat="false" ht="15" hidden="false" customHeight="false" outlineLevel="0" collapsed="false">
      <c r="A10" s="7" t="s">
        <v>156</v>
      </c>
    </row>
    <row r="11" customFormat="false" ht="15" hidden="false" customHeight="false" outlineLevel="0" collapsed="false">
      <c r="A11" s="5" t="s">
        <v>103</v>
      </c>
      <c r="B11" s="5" t="s">
        <v>132</v>
      </c>
      <c r="C11" s="5" t="s">
        <v>133</v>
      </c>
      <c r="D11" s="5" t="s">
        <v>134</v>
      </c>
    </row>
    <row r="12" customFormat="false" ht="15" hidden="false" customHeight="false" outlineLevel="0" collapsed="false">
      <c r="A12" s="20" t="s">
        <v>123</v>
      </c>
      <c r="B12" s="21" t="str">
        <f aca="false">IFERROR(AVERAGEIFS('Scoring Sheet'!$N$6:$N$20,'Scoring Sheet'!$B$6:$B$20,$A12,'Scoring Sheet'!$C$6:$C$20,B$11),"")</f>
        <v/>
      </c>
      <c r="C12" s="21" t="str">
        <f aca="false">IFERROR(AVERAGEIFS('Scoring Sheet'!$N$6:$N$20,'Scoring Sheet'!$B$6:$B$20,$A12,'Scoring Sheet'!$C$6:$C$20,C$11),"")</f>
        <v/>
      </c>
      <c r="D12" s="21" t="str">
        <f aca="false">IFERROR(AVERAGEIFS('Scoring Sheet'!$N$6:$N$20,'Scoring Sheet'!$B$6:$B$20,$A12,'Scoring Sheet'!$C$6:$C$20,D$11),"")</f>
        <v/>
      </c>
    </row>
    <row r="13" customFormat="false" ht="15" hidden="false" customHeight="false" outlineLevel="0" collapsed="false">
      <c r="A13" s="20" t="s">
        <v>136</v>
      </c>
      <c r="B13" s="21" t="str">
        <f aca="false">IFERROR(AVERAGEIFS('Scoring Sheet'!$N$6:$N$20,'Scoring Sheet'!$B$6:$B$20,$A13,'Scoring Sheet'!$C$6:$C$20,B$11),"")</f>
        <v/>
      </c>
      <c r="C13" s="21" t="str">
        <f aca="false">IFERROR(AVERAGEIFS('Scoring Sheet'!$N$6:$N$20,'Scoring Sheet'!$B$6:$B$20,$A13,'Scoring Sheet'!$C$6:$C$20,C$11),"")</f>
        <v/>
      </c>
      <c r="D13" s="21" t="str">
        <f aca="false">IFERROR(AVERAGEIFS('Scoring Sheet'!$N$6:$N$20,'Scoring Sheet'!$B$6:$B$20,$A13,'Scoring Sheet'!$C$6:$C$20,D$11),"")</f>
        <v/>
      </c>
    </row>
    <row r="14" customFormat="false" ht="15" hidden="false" customHeight="false" outlineLevel="0" collapsed="false">
      <c r="A14" s="20" t="s">
        <v>138</v>
      </c>
      <c r="B14" s="21" t="str">
        <f aca="false">IFERROR(AVERAGEIFS('Scoring Sheet'!$N$6:$N$20,'Scoring Sheet'!$B$6:$B$20,$A14,'Scoring Sheet'!$C$6:$C$20,B$11),"")</f>
        <v/>
      </c>
      <c r="C14" s="21" t="str">
        <f aca="false">IFERROR(AVERAGEIFS('Scoring Sheet'!$N$6:$N$20,'Scoring Sheet'!$B$6:$B$20,$A14,'Scoring Sheet'!$C$6:$C$20,C$11),"")</f>
        <v/>
      </c>
      <c r="D14" s="21" t="str">
        <f aca="false">IFERROR(AVERAGEIFS('Scoring Sheet'!$N$6:$N$20,'Scoring Sheet'!$B$6:$B$20,$A14,'Scoring Sheet'!$C$6:$C$20,D$11),"")</f>
        <v/>
      </c>
    </row>
    <row r="15" customFormat="false" ht="15" hidden="false" customHeight="false" outlineLevel="0" collapsed="false">
      <c r="A15" s="20" t="s">
        <v>140</v>
      </c>
      <c r="B15" s="21" t="str">
        <f aca="false">IFERROR(AVERAGEIFS('Scoring Sheet'!$N$6:$N$20,'Scoring Sheet'!$B$6:$B$20,$A15,'Scoring Sheet'!$C$6:$C$20,B$11),"")</f>
        <v/>
      </c>
      <c r="C15" s="21" t="str">
        <f aca="false">IFERROR(AVERAGEIFS('Scoring Sheet'!$N$6:$N$20,'Scoring Sheet'!$B$6:$B$20,$A15,'Scoring Sheet'!$C$6:$C$20,C$11),"")</f>
        <v/>
      </c>
      <c r="D15" s="21" t="str">
        <f aca="false">IFERROR(AVERAGEIFS('Scoring Sheet'!$N$6:$N$20,'Scoring Sheet'!$B$6:$B$20,$A15,'Scoring Sheet'!$C$6:$C$20,D$11),"")</f>
        <v/>
      </c>
    </row>
    <row r="16" customFormat="false" ht="15" hidden="false" customHeight="false" outlineLevel="0" collapsed="false">
      <c r="A16" s="20" t="s">
        <v>142</v>
      </c>
      <c r="B16" s="21" t="str">
        <f aca="false">IFERROR(AVERAGEIFS('Scoring Sheet'!$N$6:$N$20,'Scoring Sheet'!$B$6:$B$20,$A16,'Scoring Sheet'!$C$6:$C$20,B$11),"")</f>
        <v/>
      </c>
      <c r="C16" s="21" t="str">
        <f aca="false">IFERROR(AVERAGEIFS('Scoring Sheet'!$N$6:$N$20,'Scoring Sheet'!$B$6:$B$20,$A16,'Scoring Sheet'!$C$6:$C$20,C$11),"")</f>
        <v/>
      </c>
      <c r="D16" s="21" t="str">
        <f aca="false">IFERROR(AVERAGEIFS('Scoring Sheet'!$N$6:$N$20,'Scoring Sheet'!$B$6:$B$20,$A16,'Scoring Sheet'!$C$6:$C$20,D$11),"")</f>
        <v/>
      </c>
    </row>
    <row r="18" customFormat="false" ht="15" hidden="false" customHeight="false" outlineLevel="0" collapsed="false">
      <c r="A18" s="2" t="s">
        <v>157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2026-10-29T10:39:37Z</dcterms:created>
  <dc:creator>openpyxl</dc:creator>
  <dc:description/>
  <dc:language>en-US</dc:language>
  <cp:lastModifiedBy/>
  <dcterms:modified xsi:type="dcterms:W3CDTF">2026-10-29T10:39:37Z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